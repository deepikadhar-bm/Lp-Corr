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  <definedNames>
    <definedName name="_xlnm._FilterDatabase" localSheetId="0" hidden="1">'Sheet1'!A1:AQ1048576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&quot;TRUE&quot;;&quot;TRUE&quot;;&quot;FALSE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048576"/>
  <sheetViews>
    <sheetView workbookViewId="0" rightToLeft="0"/>
  </sheetViews>
  <sheetData>
    <row r="1">
      <c r="A1" s="1" t="str">
        <v>Correspondent Loan Number</v>
      </c>
      <c r="B1" s="1" t="str">
        <v>Income (Monthly)</v>
      </c>
      <c r="C1" s="1" t="str">
        <v>Loan Purpose</v>
      </c>
      <c r="D1" s="1" t="str">
        <v>Impound Type</v>
      </c>
      <c r="E1" s="1" t="str">
        <v>Loan Type</v>
      </c>
      <c r="F1" s="1" t="str">
        <v>Property Address</v>
      </c>
      <c r="G1" s="1" t="str">
        <v>Property City</v>
      </c>
      <c r="H1" s="1" t="str">
        <v>Property State</v>
      </c>
      <c r="I1" s="1" t="str">
        <v>Property Zip Code</v>
      </c>
      <c r="J1" s="1" t="str">
        <v>Borrower First Name</v>
      </c>
      <c r="K1" s="1" t="str">
        <v>Borrower Last Name</v>
      </c>
      <c r="L1" s="1" t="str">
        <v>FICO Score</v>
      </c>
      <c r="M1" s="1" t="str">
        <v>Original Loan Amount</v>
      </c>
      <c r="N1" s="1" t="str">
        <v>Base Loan Amount</v>
      </c>
      <c r="O1" s="1" t="str">
        <v>Loan Term</v>
      </c>
      <c r="P1" s="1" t="str">
        <v>Product Code</v>
      </c>
      <c r="Q1" s="1" t="str">
        <v>Occupancy Type</v>
      </c>
      <c r="R1" s="1" t="str">
        <v>Amortization Type</v>
      </c>
      <c r="S1" s="1" t="str">
        <v>Unpaid Principal Balance</v>
      </c>
      <c r="T1" s="1" t="str">
        <v>Appraised Value</v>
      </c>
      <c r="U1" s="1" t="str">
        <v>Sales Price</v>
      </c>
      <c r="V1" s="1" t="str">
        <v>Property Indicator</v>
      </c>
      <c r="W1" s="1" t="str">
        <v>Note Rate</v>
      </c>
      <c r="X1" s="1" t="str">
        <v>LTV</v>
      </c>
      <c r="Y1" s="1" t="str">
        <v>CLTV</v>
      </c>
      <c r="Z1" s="1" t="str">
        <v>FICO Score</v>
      </c>
      <c r="AA1" s="1" t="str">
        <v>Property Type</v>
      </c>
      <c r="AB1" s="1" t="str">
        <v>Units</v>
      </c>
      <c r="AC1" s="1" t="str">
        <v>Purpose of Refinance</v>
      </c>
      <c r="AD1" s="1" t="str">
        <v>Cash Out Amount</v>
      </c>
      <c r="AE1" s="1" t="str">
        <v>Subordinate Amount</v>
      </c>
      <c r="AF1" s="1" t="str">
        <v>FTHB Waiver</v>
      </c>
      <c r="AG1" s="1" t="str">
        <v>Doc Type</v>
      </c>
      <c r="AH1" s="1" t="str">
        <v>Interest Only</v>
      </c>
      <c r="AI1" s="1" t="str">
        <v>DTI</v>
      </c>
      <c r="AJ1" s="1" t="str">
        <v>Harp Indicator</v>
      </c>
      <c r="AK1" s="1" t="str">
        <v>High Balance Indicator</v>
      </c>
      <c r="AL1" s="1" t="str">
        <v>Underwriting System Code</v>
      </c>
      <c r="AM1" s="1" t="str">
        <v>Note Date</v>
      </c>
      <c r="AN1" s="1" t="str">
        <v>First Payment Date</v>
      </c>
      <c r="AO1" s="1" t="str">
        <v>Amortization Term</v>
      </c>
      <c r="AP1" s="1" t="str">
        <v>TPO</v>
      </c>
      <c r="AQ1" s="1" t="str">
        <v>Appraisal Waiver</v>
      </c>
    </row>
    <row r="2">
      <c r="A2" s="1" t="str">
        <v>TestSigma_17-02-2026_SC1_D7_686</v>
      </c>
      <c r="B2" s="1">
        <v>2001</v>
      </c>
      <c r="C2" s="1" t="str">
        <v>Refinance</v>
      </c>
      <c r="D2" s="1" t="str">
        <v>Ins only</v>
      </c>
      <c r="E2" s="1" t="str">
        <v>Conventional</v>
      </c>
      <c r="F2" s="1" t="str">
        <v>14435 Andover Birch Drive</v>
      </c>
      <c r="G2" s="1" t="str">
        <v>Rosharon</v>
      </c>
      <c r="H2" s="1" t="str">
        <v>TX</v>
      </c>
      <c r="I2" s="1">
        <v>77583</v>
      </c>
      <c r="J2" s="1" t="str">
        <v>FN_Deepika_JULY_16_10</v>
      </c>
      <c r="K2" s="1" t="str">
        <v>LN_Deepika_JULY_16_10</v>
      </c>
      <c r="L2" s="1">
        <v>794</v>
      </c>
      <c r="M2" s="1">
        <v>150022</v>
      </c>
      <c r="N2" s="1">
        <v>150010</v>
      </c>
      <c r="O2" s="1">
        <v>360</v>
      </c>
      <c r="P2" s="1" t="str">
        <v>214_25/30 Yr Freddie Mac Fixed</v>
      </c>
      <c r="Q2" s="1" t="str">
        <v>Second Home</v>
      </c>
      <c r="R2" s="1" t="str">
        <v>Fixed</v>
      </c>
      <c r="S2" s="1">
        <v>318750</v>
      </c>
      <c r="T2" s="1">
        <v>425000</v>
      </c>
      <c r="U2" s="1">
        <v>425000</v>
      </c>
      <c r="V2" s="1" t="str">
        <v>Attached</v>
      </c>
      <c r="W2" s="1">
        <v>6.5</v>
      </c>
      <c r="X2" s="1">
        <v>75</v>
      </c>
      <c r="Y2" s="1">
        <v>75</v>
      </c>
      <c r="Z2" s="1">
        <v>794</v>
      </c>
      <c r="AA2" s="1" t="str">
        <v>PUD</v>
      </c>
      <c r="AB2" s="1" t="str">
        <v>Condo &gt;4 Stories</v>
      </c>
      <c r="AE2" s="1">
        <v>0</v>
      </c>
      <c r="AF2" s="1" t="str">
        <v>Y</v>
      </c>
      <c r="AG2" s="1" t="str">
        <v>Full / Alt Doc</v>
      </c>
      <c r="AH2" s="1" t="str">
        <v>N</v>
      </c>
      <c r="AI2" s="1">
        <v>50</v>
      </c>
      <c r="AL2" s="1" t="str">
        <v>LP/LPI</v>
      </c>
      <c r="AM2" s="1">
        <v>44886</v>
      </c>
      <c r="AN2" s="1">
        <v>44562</v>
      </c>
      <c r="AP2" s="1">
        <f>TRUE()</f>
        <v>1</v>
      </c>
    </row>
    <row r="3">
      <c r="A3" s="1" t="str">
        <v>TestSigma_17-02-2026_SC1_46_613</v>
      </c>
      <c r="B3" s="1">
        <v>2001</v>
      </c>
      <c r="C3" s="1" t="str">
        <v>Refinance</v>
      </c>
      <c r="D3" s="1" t="str">
        <v>Taxes only</v>
      </c>
      <c r="E3" s="1" t="str">
        <v>Conventional</v>
      </c>
      <c r="F3" s="1" t="str">
        <v>14436 Andover Birch Drive</v>
      </c>
      <c r="G3" s="1" t="str">
        <v>Rosharon</v>
      </c>
      <c r="H3" s="1" t="str">
        <v>TX</v>
      </c>
      <c r="I3" s="1">
        <v>77583</v>
      </c>
      <c r="J3" s="1" t="str">
        <v>FN_Deepika_JULY_16_11</v>
      </c>
      <c r="K3" s="1" t="str">
        <v>LN_Deepika_JULY_16_11</v>
      </c>
      <c r="L3" s="1">
        <v>794</v>
      </c>
      <c r="M3" s="1">
        <v>150023</v>
      </c>
      <c r="N3" s="1">
        <v>150011</v>
      </c>
      <c r="O3" s="1">
        <v>360</v>
      </c>
      <c r="P3" s="1" t="str">
        <v>214_25/30 Yr Freddie Mac Fixed</v>
      </c>
      <c r="Q3" s="1" t="str">
        <v>Second Home</v>
      </c>
      <c r="R3" s="1" t="str">
        <v>Fixed</v>
      </c>
      <c r="S3" s="1">
        <v>318750</v>
      </c>
      <c r="T3" s="1">
        <v>425000</v>
      </c>
      <c r="U3" s="1">
        <v>425000</v>
      </c>
      <c r="V3" s="1" t="str">
        <v>Attached</v>
      </c>
      <c r="W3" s="1">
        <v>6.5</v>
      </c>
      <c r="X3" s="1">
        <v>75</v>
      </c>
      <c r="Y3" s="1">
        <v>75</v>
      </c>
      <c r="Z3" s="1">
        <v>794</v>
      </c>
      <c r="AA3" s="1" t="str">
        <v>PUD</v>
      </c>
      <c r="AB3" s="1" t="str">
        <v>Condo &gt;4 Stories</v>
      </c>
      <c r="AE3" s="1">
        <v>0</v>
      </c>
      <c r="AF3" s="1" t="str">
        <v>Y</v>
      </c>
      <c r="AG3" s="1" t="str">
        <v>Full / Alt Doc</v>
      </c>
      <c r="AH3" s="1" t="str">
        <v>N</v>
      </c>
      <c r="AI3" s="1">
        <v>50</v>
      </c>
      <c r="AL3" s="1" t="str">
        <v>LP/LPI</v>
      </c>
      <c r="AM3" s="1">
        <v>44886</v>
      </c>
      <c r="AN3" s="1">
        <v>44562</v>
      </c>
      <c r="AP3" s="1">
        <f>FALSE()</f>
        <v>0</v>
      </c>
    </row>
    <row r="4">
      <c r="A4" s="1" t="str">
        <v>TestSigma_17-02-2026_SC1_IK_125</v>
      </c>
      <c r="B4" s="1">
        <v>2001</v>
      </c>
      <c r="C4" s="1" t="str">
        <v>Refinance</v>
      </c>
      <c r="D4" s="1" t="str">
        <v>Ins only</v>
      </c>
      <c r="E4" s="1" t="str">
        <v>Conventional</v>
      </c>
      <c r="F4" s="1" t="str">
        <v>14437 Andover Birch Drive</v>
      </c>
      <c r="G4" s="1" t="str">
        <v>Rosharon</v>
      </c>
      <c r="H4" s="1" t="str">
        <v>TX</v>
      </c>
      <c r="I4" s="1">
        <v>77583</v>
      </c>
      <c r="J4" s="1" t="str">
        <v>FN_Deepika_JULY_16_12</v>
      </c>
      <c r="K4" s="1" t="str">
        <v>LN_Deepika_JULY_16_12</v>
      </c>
      <c r="L4" s="1">
        <v>794</v>
      </c>
      <c r="M4" s="1">
        <v>150025</v>
      </c>
      <c r="N4" s="1">
        <v>150012</v>
      </c>
      <c r="O4" s="1">
        <v>360</v>
      </c>
      <c r="P4" s="1" t="str">
        <v>214_25/30 Yr Freddie Mac Fixed</v>
      </c>
      <c r="Q4" s="1" t="str">
        <v>Second Home</v>
      </c>
      <c r="R4" s="1" t="str">
        <v>Fixed</v>
      </c>
      <c r="S4" s="1">
        <v>318750</v>
      </c>
      <c r="T4" s="1">
        <v>425000</v>
      </c>
      <c r="U4" s="1">
        <v>425000</v>
      </c>
      <c r="V4" s="1" t="str">
        <v>Attached</v>
      </c>
      <c r="W4" s="1">
        <v>6.5</v>
      </c>
      <c r="X4" s="1">
        <v>75</v>
      </c>
      <c r="Y4" s="1">
        <v>75</v>
      </c>
      <c r="Z4" s="1">
        <v>794</v>
      </c>
      <c r="AA4" s="1" t="str">
        <v>PUD</v>
      </c>
      <c r="AB4" s="1" t="str">
        <v>Condo &gt;4 Stories</v>
      </c>
      <c r="AE4" s="1">
        <v>0</v>
      </c>
      <c r="AF4" s="1" t="str">
        <v>Y</v>
      </c>
      <c r="AG4" s="1" t="str">
        <v>Full / Alt Doc</v>
      </c>
      <c r="AH4" s="1" t="str">
        <v>N</v>
      </c>
      <c r="AI4" s="1">
        <v>50</v>
      </c>
      <c r="AL4" s="1" t="str">
        <v>LP/LPI</v>
      </c>
      <c r="AM4" s="1">
        <v>44886</v>
      </c>
      <c r="AN4" s="1">
        <v>44562</v>
      </c>
      <c r="AP4" s="1" t="str">
        <v>Y</v>
      </c>
    </row>
    <row r="5">
      <c r="A5" s="1" t="str">
        <v>TestSigma_17-02-2026_SC1_G9_338</v>
      </c>
      <c r="B5" s="1">
        <v>2001</v>
      </c>
      <c r="C5" s="1" t="str">
        <v>Refinance</v>
      </c>
      <c r="D5" s="1" t="str">
        <v>Ins only</v>
      </c>
      <c r="E5" s="1" t="str">
        <v>Conventional</v>
      </c>
      <c r="F5" s="1" t="str">
        <v>14437 Andover Birch Drive</v>
      </c>
      <c r="G5" s="1" t="str">
        <v>Rosharon</v>
      </c>
      <c r="H5" s="1" t="str">
        <v>TX</v>
      </c>
      <c r="I5" s="1">
        <v>77583</v>
      </c>
      <c r="J5" s="1" t="str">
        <v>FN_Deepika_JULY_16_13</v>
      </c>
      <c r="K5" s="1" t="str">
        <v>LN_Deepika_JULY_16_13</v>
      </c>
      <c r="L5" s="1">
        <v>794</v>
      </c>
      <c r="M5" s="1">
        <v>150025</v>
      </c>
      <c r="N5" s="1">
        <v>150013</v>
      </c>
      <c r="O5" s="1">
        <v>360</v>
      </c>
      <c r="P5" s="1" t="str">
        <v>214_25/30 Yr Freddie Mac Fixed</v>
      </c>
      <c r="Q5" s="1" t="str">
        <v>Second Home</v>
      </c>
      <c r="R5" s="1" t="str">
        <v>Fixed</v>
      </c>
      <c r="S5" s="1">
        <v>318750</v>
      </c>
      <c r="T5" s="1">
        <v>425000</v>
      </c>
      <c r="U5" s="1">
        <v>425000</v>
      </c>
      <c r="V5" s="1" t="str">
        <v>Attached</v>
      </c>
      <c r="W5" s="1">
        <v>6.5</v>
      </c>
      <c r="X5" s="1">
        <v>75</v>
      </c>
      <c r="Y5" s="1">
        <v>75</v>
      </c>
      <c r="Z5" s="1">
        <v>794</v>
      </c>
      <c r="AA5" s="1" t="str">
        <v>PUD</v>
      </c>
      <c r="AB5" s="1" t="str">
        <v>Condo &gt;4 Stories</v>
      </c>
      <c r="AE5" s="1">
        <v>0</v>
      </c>
      <c r="AF5" s="1" t="str">
        <v>Y</v>
      </c>
      <c r="AG5" s="1" t="str">
        <v>Full / Alt Doc</v>
      </c>
      <c r="AH5" s="1" t="str">
        <v>N</v>
      </c>
      <c r="AI5" s="1">
        <v>50</v>
      </c>
      <c r="AL5" s="1" t="str">
        <v>LP/LPI</v>
      </c>
      <c r="AM5" s="1">
        <v>44886</v>
      </c>
      <c r="AN5" s="1">
        <v>44562</v>
      </c>
      <c r="AP5" s="1" t="str">
        <v>N</v>
      </c>
    </row>
    <row r="6">
      <c r="A6" s="1" t="str">
        <v>TestSigma_17-02-2026_SC1_F8_102</v>
      </c>
      <c r="B6" s="1">
        <v>2001</v>
      </c>
      <c r="C6" s="1">
        <v>123</v>
      </c>
      <c r="D6" s="1" t="str">
        <v>Ins only</v>
      </c>
      <c r="E6" s="1" t="str">
        <v>Conventional</v>
      </c>
      <c r="F6" s="1" t="str">
        <v>14437 Andover Birch Drive</v>
      </c>
      <c r="G6" s="1" t="str">
        <v>Rosharon</v>
      </c>
      <c r="H6" s="1" t="str">
        <v>TX</v>
      </c>
      <c r="I6" s="1">
        <v>77583</v>
      </c>
      <c r="J6" s="1" t="str">
        <v>FN_Deepika_JULY_16_14</v>
      </c>
      <c r="K6" s="1" t="str">
        <v>LN_Deepika_JULY_16_14</v>
      </c>
      <c r="L6" s="1">
        <v>794</v>
      </c>
      <c r="M6" s="1">
        <v>150025</v>
      </c>
      <c r="N6" s="1">
        <v>150014</v>
      </c>
      <c r="O6" s="1">
        <v>360</v>
      </c>
      <c r="P6" s="1" t="str">
        <v>214_25/30 Yr Freddie Mac Fixed</v>
      </c>
      <c r="Q6" s="1" t="str">
        <v>Second Home</v>
      </c>
      <c r="R6" s="1" t="str">
        <v>Fixed</v>
      </c>
      <c r="S6" s="1">
        <v>318750</v>
      </c>
      <c r="T6" s="1">
        <v>425000</v>
      </c>
      <c r="U6" s="1">
        <v>425000</v>
      </c>
      <c r="V6" s="1" t="str">
        <v>Attached</v>
      </c>
      <c r="W6" s="1">
        <v>6.5</v>
      </c>
      <c r="X6" s="1">
        <v>75</v>
      </c>
      <c r="Y6" s="1">
        <v>75</v>
      </c>
      <c r="Z6" s="1">
        <v>794</v>
      </c>
      <c r="AA6" s="1" t="str">
        <v>PUD</v>
      </c>
      <c r="AB6" s="1" t="str">
        <v>Condo &gt;4 Stories</v>
      </c>
      <c r="AE6" s="1">
        <v>0</v>
      </c>
      <c r="AF6" s="1" t="str">
        <v>Y</v>
      </c>
      <c r="AG6" s="1" t="str">
        <v>Full / Alt Doc</v>
      </c>
      <c r="AH6" s="1" t="str">
        <v>N</v>
      </c>
      <c r="AI6" s="1">
        <v>50</v>
      </c>
      <c r="AL6" s="1" t="str">
        <v>LP/LPI</v>
      </c>
      <c r="AM6" s="1">
        <v>44886</v>
      </c>
      <c r="AN6" s="1">
        <v>44562</v>
      </c>
      <c r="AP6" s="1" t="str">
        <v>ABC</v>
      </c>
    </row>
    <row r="8">
      <c r="A8" s="1" t="str">
        <v xml:space="preserve"> </v>
      </c>
    </row>
  </sheetData>
  <autoFilter ref="A1:AQ1048576"/>
  <pageMargins left="0.7" right="0.7" top="0.75" bottom="0.75" header="0.511811023622047" footer="0.511811023622047"/>
  <ignoredErrors>
    <ignoredError numberStoredAsText="1" sqref="A1:AQ104857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 rightToLeft="0"/>
  </sheetViews>
  <sheetData/>
  <pageMargins left="0.7875" right="0.7875" top="1.05277777777778" bottom="1.05277777777778" header="0.7875" footer="0.7875"/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2022-09-07T12:41:14Z</dcterms:created>
  <dcterms:modified xsi:type="dcterms:W3CDTF">2025-07-16T14:49:27Z</dcterms:modified>
  <cp:revision>491</cp:revision>
  <dc:creator>Maxwell, Christy A</dc:creator>
  <dc:language>en-US</dc:language>
</cp:coreProperties>
</file>